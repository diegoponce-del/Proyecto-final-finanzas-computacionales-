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Escritorio\Documentos generales\"/>
    </mc:Choice>
  </mc:AlternateContent>
  <xr:revisionPtr revIDLastSave="0" documentId="8_{0B4D165B-A5BF-4A64-ACA3-0AAE9922660A}" xr6:coauthVersionLast="47" xr6:coauthVersionMax="47" xr10:uidLastSave="{00000000-0000-0000-0000-000000000000}"/>
  <bookViews>
    <workbookView xWindow="-120" yWindow="-120" windowWidth="20730" windowHeight="11760" xr2:uid="{641166C2-B442-4EA7-A729-7673A788E8A4}"/>
    <workbookView xWindow="-120" yWindow="-120" windowWidth="20730" windowHeight="11760" xr2:uid="{9C45ADCF-BA38-48DC-9AAB-238D385A196A}"/>
  </bookViews>
  <sheets>
    <sheet name="Calculo MAE MSE RMSE" sheetId="2" r:id="rId1"/>
    <sheet name="Operacion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L40" i="2"/>
  <c r="L48" i="2"/>
  <c r="L42" i="2"/>
  <c r="L38" i="2"/>
  <c r="R9" i="2"/>
  <c r="L49" i="2"/>
  <c r="L50" i="2"/>
  <c r="L51" i="2"/>
  <c r="K40" i="2"/>
  <c r="B53" i="2"/>
  <c r="E27" i="2"/>
  <c r="E22" i="2"/>
  <c r="E23" i="2"/>
  <c r="E24" i="2"/>
  <c r="E25" i="2"/>
  <c r="E26" i="2"/>
  <c r="E21" i="2"/>
  <c r="E5" i="2"/>
  <c r="K44" i="2" l="1"/>
  <c r="L44" i="2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66" i="2"/>
  <c r="D66" i="2" s="1"/>
  <c r="D73" i="2" s="1"/>
  <c r="C74" i="2" s="1"/>
  <c r="C76" i="2" s="1"/>
  <c r="C79" i="2" s="1"/>
  <c r="E31" i="2"/>
  <c r="I11" i="2" s="1"/>
  <c r="G13" i="2"/>
  <c r="E11" i="2"/>
  <c r="F11" i="2" s="1"/>
  <c r="G11" i="2" s="1"/>
  <c r="J10" i="2"/>
  <c r="I10" i="2"/>
  <c r="E10" i="2"/>
  <c r="F10" i="2" s="1"/>
  <c r="G10" i="2" s="1"/>
  <c r="J9" i="2"/>
  <c r="I9" i="2"/>
  <c r="E9" i="2"/>
  <c r="F9" i="2" s="1"/>
  <c r="G9" i="2" s="1"/>
  <c r="J8" i="2"/>
  <c r="I8" i="2"/>
  <c r="E8" i="2"/>
  <c r="F8" i="2" s="1"/>
  <c r="G8" i="2" s="1"/>
  <c r="J7" i="2"/>
  <c r="E7" i="2"/>
  <c r="F7" i="2" s="1"/>
  <c r="G7" i="2" s="1"/>
  <c r="J6" i="2"/>
  <c r="I6" i="2"/>
  <c r="E6" i="2"/>
  <c r="F6" i="2" s="1"/>
  <c r="G6" i="2" s="1"/>
  <c r="A6" i="2"/>
  <c r="A7" i="2" s="1"/>
  <c r="A8" i="2" s="1"/>
  <c r="A9" i="2" s="1"/>
  <c r="A10" i="2" s="1"/>
  <c r="A11" i="2" s="1"/>
  <c r="J5" i="2"/>
  <c r="I5" i="2"/>
  <c r="F5" i="2"/>
  <c r="F12" i="2" s="1"/>
  <c r="I7" i="2" l="1"/>
  <c r="J11" i="2"/>
  <c r="K11" i="2"/>
  <c r="K8" i="2"/>
  <c r="K7" i="2"/>
  <c r="K6" i="2"/>
  <c r="K5" i="2"/>
  <c r="K9" i="2"/>
  <c r="K10" i="2"/>
  <c r="N5" i="2"/>
  <c r="N6" i="2"/>
  <c r="N7" i="2"/>
  <c r="N8" i="2"/>
  <c r="G5" i="2"/>
  <c r="G12" i="2" s="1"/>
  <c r="F16" i="2" s="1"/>
  <c r="R7" i="2" l="1"/>
  <c r="R5" i="2"/>
  <c r="R6" i="2"/>
  <c r="R4" i="2"/>
</calcChain>
</file>

<file path=xl/sharedStrings.xml><?xml version="1.0" encoding="utf-8"?>
<sst xmlns="http://schemas.openxmlformats.org/spreadsheetml/2006/main" count="97" uniqueCount="85">
  <si>
    <t>Métricas Derivadas:</t>
  </si>
  <si>
    <t>(Valores Reales)</t>
  </si>
  <si>
    <t>(Estan fijadas las celdas 👁️)</t>
  </si>
  <si>
    <t>#</t>
  </si>
  <si>
    <t>Fecha</t>
  </si>
  <si>
    <t>Predicción (yi)</t>
  </si>
  <si>
    <t>Actual(yi)</t>
  </si>
  <si>
    <t>Error</t>
  </si>
  <si>
    <t>Errores Absolutos</t>
  </si>
  <si>
    <t>Error^2</t>
  </si>
  <si>
    <t>Clase Actual</t>
  </si>
  <si>
    <t>Clase Predicha</t>
  </si>
  <si>
    <t>TIPO:</t>
  </si>
  <si>
    <t>(Esta Fijado el Rango)</t>
  </si>
  <si>
    <t>Presición (Accuracy):</t>
  </si>
  <si>
    <t>Accuracy</t>
  </si>
  <si>
    <t>TN</t>
  </si>
  <si>
    <t>Presición (Precisión):</t>
  </si>
  <si>
    <t>Precisión</t>
  </si>
  <si>
    <t>FP</t>
  </si>
  <si>
    <t>Recall (Sensibilidad)</t>
  </si>
  <si>
    <t>Recall</t>
  </si>
  <si>
    <t>FN</t>
  </si>
  <si>
    <t>Especificidad:</t>
  </si>
  <si>
    <t>Especificidad</t>
  </si>
  <si>
    <t>TP</t>
  </si>
  <si>
    <t>F1-Score:</t>
  </si>
  <si>
    <t>Periodos</t>
  </si>
  <si>
    <t>MAE (=)</t>
  </si>
  <si>
    <t>MSE (=)</t>
  </si>
  <si>
    <t>RMSE(=)</t>
  </si>
  <si>
    <t xml:space="preserve">Predicha </t>
  </si>
  <si>
    <t>Verdaderos negativos</t>
  </si>
  <si>
    <t>(Ordenar e Identificar la Media)</t>
  </si>
  <si>
    <t>Falsos Positivos</t>
  </si>
  <si>
    <t>Actual</t>
  </si>
  <si>
    <t>Falsos Negativos</t>
  </si>
  <si>
    <t>Verdaderos Positivos</t>
  </si>
  <si>
    <t>Predicho</t>
  </si>
  <si>
    <t>Bajo</t>
  </si>
  <si>
    <t>Alto</t>
  </si>
  <si>
    <t>FP Actual</t>
  </si>
  <si>
    <t>FNTP</t>
  </si>
  <si>
    <t>Medianas:</t>
  </si>
  <si>
    <t>Clase 0 (Bajo)</t>
  </si>
  <si>
    <t>Clase 1 (Alto)</t>
  </si>
  <si>
    <t xml:space="preserve">SHARPE RATIO </t>
  </si>
  <si>
    <t>Beneficio Neto Total</t>
  </si>
  <si>
    <t>USDT</t>
  </si>
  <si>
    <t>Win Rate</t>
  </si>
  <si>
    <t>Profit Factor</t>
  </si>
  <si>
    <t xml:space="preserve">Máximo Drawdown </t>
  </si>
  <si>
    <t>Operación</t>
  </si>
  <si>
    <t>PnL (USDT)</t>
  </si>
  <si>
    <t>Balance del Capital</t>
  </si>
  <si>
    <t xml:space="preserve">Retorno promedio de la estrategia </t>
  </si>
  <si>
    <t xml:space="preserve">Tasa de retorno libre de riesgo </t>
  </si>
  <si>
    <t xml:space="preserve">Desviaicón estándar de los retornos de la estrategia </t>
  </si>
  <si>
    <t>Retorno</t>
  </si>
  <si>
    <t xml:space="preserve">Retorno promedio </t>
  </si>
  <si>
    <t>^2</t>
  </si>
  <si>
    <t xml:space="preserve">Varianza </t>
  </si>
  <si>
    <t>Desviación estándar</t>
  </si>
  <si>
    <t xml:space="preserve">Indice de sharpe </t>
  </si>
  <si>
    <t xml:space="preserve">Van juntas </t>
  </si>
  <si>
    <t>este no</t>
  </si>
  <si>
    <t>ah sisi</t>
  </si>
  <si>
    <t>pero no podemos poner todas, es mucho no?</t>
  </si>
  <si>
    <t>en las tareas siempre usabamos 4</t>
  </si>
  <si>
    <t xml:space="preserve">Así </t>
  </si>
  <si>
    <t xml:space="preserve">Aaa sisi, pero es que entre más mejor pq mientras más tengamos más se ve como funciona le bot a largo plazo </t>
  </si>
  <si>
    <t>Vaaaa</t>
  </si>
  <si>
    <t xml:space="preserve">Solo que la separé en 2 screenshots pq no se venian todas las operaciones </t>
  </si>
  <si>
    <t>voy a poner otra de arriba entoncees</t>
  </si>
  <si>
    <t>quieres que usa una ganancia más?</t>
  </si>
  <si>
    <t>vaaa</t>
  </si>
  <si>
    <t xml:space="preserve">Si quieres solamente usamos 4 </t>
  </si>
  <si>
    <t xml:space="preserve">Sii si quieres </t>
  </si>
  <si>
    <t>Vava</t>
  </si>
  <si>
    <t>este si</t>
  </si>
  <si>
    <t>Usamos 4</t>
  </si>
  <si>
    <t xml:space="preserve">Cierre </t>
  </si>
  <si>
    <t>Predicción</t>
  </si>
  <si>
    <t>RSI</t>
  </si>
  <si>
    <t>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</si>
</sst>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0.000"/>
    <numFmt numFmtId="166" formatCode="0.000000"/>
    <numFmt numFmtId="167" formatCode="_-* #,##0_-;\-* #,##0_-;_-* &quot;-&quot;??_-;_-@_-"/>
    <numFmt numFmtId="168" formatCode="0.000%"/>
    <numFmt numFmtId="169" formatCode="0.0000"/>
    <numFmt numFmtId="170" formatCode="0.0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E3E3E3"/>
      <name val="Courier New"/>
      <family val="1"/>
    </font>
    <font>
      <b/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0" fontId="2" fillId="0" borderId="0" xfId="3"/>
    <xf numFmtId="0" fontId="3" fillId="0" borderId="1" xfId="3" applyFont="1" applyBorder="1"/>
    <xf numFmtId="0" fontId="2" fillId="0" borderId="2" xfId="3" applyBorder="1"/>
    <xf numFmtId="0" fontId="2" fillId="0" borderId="3" xfId="3" applyBorder="1"/>
    <xf numFmtId="0" fontId="2" fillId="0" borderId="1" xfId="3" applyBorder="1"/>
    <xf numFmtId="0" fontId="2" fillId="0" borderId="4" xfId="3" applyBorder="1"/>
    <xf numFmtId="0" fontId="2" fillId="0" borderId="5" xfId="3" applyBorder="1"/>
    <xf numFmtId="0" fontId="3" fillId="0" borderId="1" xfId="3" applyFont="1" applyBorder="1" applyAlignment="1">
      <alignment horizontal="center"/>
    </xf>
    <xf numFmtId="0" fontId="3" fillId="0" borderId="2" xfId="3" applyFont="1" applyBorder="1"/>
    <xf numFmtId="0" fontId="3" fillId="0" borderId="3" xfId="3" applyFont="1" applyBorder="1"/>
    <xf numFmtId="0" fontId="3" fillId="0" borderId="4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3" fillId="0" borderId="5" xfId="3" applyFont="1" applyBorder="1" applyAlignment="1">
      <alignment horizontal="center"/>
    </xf>
    <xf numFmtId="0" fontId="4" fillId="0" borderId="0" xfId="3" applyFont="1" applyAlignment="1">
      <alignment horizontal="left"/>
    </xf>
    <xf numFmtId="0" fontId="3" fillId="2" borderId="4" xfId="3" applyFont="1" applyFill="1" applyBorder="1"/>
    <xf numFmtId="0" fontId="2" fillId="2" borderId="0" xfId="3" applyFill="1"/>
    <xf numFmtId="165" fontId="3" fillId="2" borderId="0" xfId="3" applyNumberFormat="1" applyFont="1" applyFill="1" applyAlignment="1">
      <alignment horizontal="left"/>
    </xf>
    <xf numFmtId="0" fontId="2" fillId="3" borderId="4" xfId="3" applyFill="1" applyBorder="1"/>
    <xf numFmtId="0" fontId="2" fillId="3" borderId="0" xfId="3" applyFill="1"/>
    <xf numFmtId="0" fontId="2" fillId="0" borderId="4" xfId="3" applyBorder="1" applyAlignment="1">
      <alignment horizontal="center"/>
    </xf>
    <xf numFmtId="0" fontId="2" fillId="0" borderId="0" xfId="3" applyAlignment="1">
      <alignment horizontal="center"/>
    </xf>
    <xf numFmtId="0" fontId="2" fillId="0" borderId="5" xfId="3" applyBorder="1" applyAlignment="1">
      <alignment horizontal="center"/>
    </xf>
    <xf numFmtId="0" fontId="3" fillId="0" borderId="1" xfId="3" applyFont="1" applyBorder="1" applyAlignment="1">
      <alignment horizontal="right"/>
    </xf>
    <xf numFmtId="0" fontId="3" fillId="0" borderId="4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2" fillId="0" borderId="7" xfId="3" applyBorder="1"/>
    <xf numFmtId="0" fontId="3" fillId="0" borderId="4" xfId="3" applyFont="1" applyBorder="1"/>
    <xf numFmtId="0" fontId="3" fillId="2" borderId="6" xfId="3" applyFont="1" applyFill="1" applyBorder="1"/>
    <xf numFmtId="0" fontId="3" fillId="2" borderId="8" xfId="3" applyFont="1" applyFill="1" applyBorder="1"/>
    <xf numFmtId="0" fontId="2" fillId="3" borderId="6" xfId="3" applyFill="1" applyBorder="1"/>
    <xf numFmtId="0" fontId="2" fillId="3" borderId="8" xfId="3" applyFill="1" applyBorder="1"/>
    <xf numFmtId="0" fontId="2" fillId="0" borderId="8" xfId="3" applyBorder="1"/>
    <xf numFmtId="0" fontId="2" fillId="0" borderId="9" xfId="3" applyBorder="1"/>
    <xf numFmtId="0" fontId="2" fillId="0" borderId="6" xfId="3" applyBorder="1" applyAlignment="1">
      <alignment horizontal="center"/>
    </xf>
    <xf numFmtId="0" fontId="2" fillId="0" borderId="8" xfId="3" applyBorder="1" applyAlignment="1">
      <alignment horizontal="center"/>
    </xf>
    <xf numFmtId="0" fontId="2" fillId="0" borderId="7" xfId="3" applyBorder="1" applyAlignment="1">
      <alignment horizontal="center"/>
    </xf>
    <xf numFmtId="0" fontId="2" fillId="3" borderId="9" xfId="3" applyFill="1" applyBorder="1" applyAlignment="1">
      <alignment horizontal="center"/>
    </xf>
    <xf numFmtId="0" fontId="3" fillId="2" borderId="4" xfId="3" applyFont="1" applyFill="1" applyBorder="1" applyAlignment="1">
      <alignment horizontal="right"/>
    </xf>
    <xf numFmtId="0" fontId="3" fillId="2" borderId="0" xfId="3" applyFont="1" applyFill="1" applyAlignment="1">
      <alignment horizontal="left"/>
    </xf>
    <xf numFmtId="0" fontId="5" fillId="0" borderId="0" xfId="3" applyFont="1"/>
    <xf numFmtId="0" fontId="3" fillId="2" borderId="6" xfId="3" applyFont="1" applyFill="1" applyBorder="1" applyAlignment="1">
      <alignment horizontal="right"/>
    </xf>
    <xf numFmtId="0" fontId="3" fillId="2" borderId="8" xfId="3" applyFont="1" applyFill="1" applyBorder="1" applyAlignment="1">
      <alignment horizontal="left"/>
    </xf>
    <xf numFmtId="0" fontId="4" fillId="0" borderId="1" xfId="3" applyFont="1" applyBorder="1" applyAlignment="1">
      <alignment horizontal="left"/>
    </xf>
    <xf numFmtId="0" fontId="3" fillId="0" borderId="5" xfId="3" applyFont="1" applyBorder="1"/>
    <xf numFmtId="0" fontId="2" fillId="0" borderId="6" xfId="3" applyBorder="1"/>
    <xf numFmtId="166" fontId="2" fillId="2" borderId="4" xfId="3" applyNumberFormat="1" applyFill="1" applyBorder="1"/>
    <xf numFmtId="0" fontId="2" fillId="0" borderId="0" xfId="3" applyAlignment="1">
      <alignment horizontal="right"/>
    </xf>
    <xf numFmtId="22" fontId="2" fillId="3" borderId="0" xfId="3" applyNumberFormat="1" applyFill="1"/>
    <xf numFmtId="3" fontId="2" fillId="3" borderId="0" xfId="3" applyNumberFormat="1" applyFill="1"/>
    <xf numFmtId="43" fontId="2" fillId="3" borderId="0" xfId="1" applyFont="1" applyFill="1"/>
    <xf numFmtId="167" fontId="2" fillId="3" borderId="0" xfId="1" applyNumberFormat="1" applyFont="1" applyFill="1"/>
    <xf numFmtId="43" fontId="2" fillId="0" borderId="10" xfId="1" applyFont="1" applyBorder="1"/>
    <xf numFmtId="3" fontId="2" fillId="0" borderId="4" xfId="3" applyNumberFormat="1" applyBorder="1"/>
    <xf numFmtId="167" fontId="2" fillId="3" borderId="4" xfId="3" applyNumberFormat="1" applyFill="1" applyBorder="1"/>
    <xf numFmtId="167" fontId="2" fillId="2" borderId="4" xfId="3" applyNumberFormat="1" applyFill="1" applyBorder="1"/>
    <xf numFmtId="168" fontId="2" fillId="0" borderId="0" xfId="2" applyNumberFormat="1" applyFont="1"/>
    <xf numFmtId="9" fontId="2" fillId="0" borderId="0" xfId="3" applyNumberFormat="1"/>
    <xf numFmtId="0" fontId="6" fillId="0" borderId="0" xfId="3" applyFont="1"/>
    <xf numFmtId="168" fontId="2" fillId="0" borderId="0" xfId="3" applyNumberFormat="1"/>
    <xf numFmtId="10" fontId="2" fillId="0" borderId="0" xfId="3" applyNumberFormat="1"/>
    <xf numFmtId="169" fontId="2" fillId="0" borderId="0" xfId="3" applyNumberFormat="1"/>
    <xf numFmtId="170" fontId="2" fillId="0" borderId="0" xfId="3" applyNumberFormat="1"/>
    <xf numFmtId="170" fontId="6" fillId="0" borderId="2" xfId="3" applyNumberFormat="1" applyFont="1" applyBorder="1"/>
    <xf numFmtId="166" fontId="6" fillId="0" borderId="0" xfId="3" applyNumberFormat="1" applyFont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9" fontId="7" fillId="5" borderId="0" xfId="0" applyNumberFormat="1" applyFont="1" applyFill="1"/>
    <xf numFmtId="169" fontId="8" fillId="0" borderId="0" xfId="0" applyNumberFormat="1" applyFont="1"/>
    <xf numFmtId="169" fontId="8" fillId="5" borderId="0" xfId="0" applyNumberFormat="1" applyFont="1" applyFill="1"/>
    <xf numFmtId="10" fontId="7" fillId="5" borderId="0" xfId="0" applyNumberFormat="1" applyFont="1" applyFill="1"/>
    <xf numFmtId="0" fontId="7" fillId="6" borderId="0" xfId="0" applyFont="1" applyFill="1"/>
    <xf numFmtId="0" fontId="8" fillId="7" borderId="0" xfId="0" applyFont="1" applyFill="1"/>
    <xf numFmtId="44" fontId="8" fillId="7" borderId="0" xfId="4" applyNumberFormat="1" applyFont="1" applyFill="1" applyBorder="1" applyAlignment="1"/>
    <xf numFmtId="0" fontId="8" fillId="7" borderId="0" xfId="0" quotePrefix="1" applyFont="1" applyFill="1"/>
    <xf numFmtId="0" fontId="8" fillId="8" borderId="0" xfId="0" applyFont="1" applyFill="1"/>
    <xf numFmtId="0" fontId="2" fillId="8" borderId="0" xfId="3" applyFill="1"/>
    <xf numFmtId="44" fontId="8" fillId="8" borderId="0" xfId="4" applyNumberFormat="1" applyFont="1" applyFill="1" applyBorder="1" applyAlignment="1"/>
    <xf numFmtId="0" fontId="2" fillId="9" borderId="0" xfId="3" applyFill="1"/>
    <xf numFmtId="0" fontId="7" fillId="9" borderId="0" xfId="0" applyFont="1" applyFill="1"/>
    <xf numFmtId="0" fontId="8" fillId="9" borderId="0" xfId="0" applyFont="1" applyFill="1"/>
    <xf numFmtId="0" fontId="6" fillId="4" borderId="0" xfId="3" applyFont="1" applyFill="1" applyAlignment="1">
      <alignment horizontal="center"/>
    </xf>
  </cellXfs>
  <cellStyles count="5">
    <cellStyle name="Millares" xfId="1" builtinId="3"/>
    <cellStyle name="Moneda" xfId="4" builtinId="4"/>
    <cellStyle name="Normal" xfId="0" builtinId="0"/>
    <cellStyle name="Normal 2" xfId="3" xr:uid="{B257AFB2-A72D-4F47-93C8-C928948384BD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447040</xdr:colOff>
      <xdr:row>12</xdr:row>
      <xdr:rowOff>132346</xdr:rowOff>
    </xdr:from>
    <xdr:to>
      <xdr:col>18</xdr:col>
      <xdr:colOff>721360</xdr:colOff>
      <xdr:row>28</xdr:row>
      <xdr:rowOff>26207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8CD47B-4FCB-447E-BD9E-65525DA2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3340" y="2532646"/>
          <a:ext cx="5303520" cy="3132361"/>
        </a:xfrm>
        <a:prstGeom prst="rect">
          <a:avLst/>
        </a:prstGeom>
      </xdr:spPr>
    </xdr:pic>
    <xdr:clientData/>
  </xdr:twoCellAnchor>
  <xdr:twoCellAnchor editAs="oneCell">
    <xdr:from>
      <xdr:col>0</xdr:col>
      <xdr:colOff>736469</xdr:colOff>
      <xdr:row>38</xdr:row>
      <xdr:rowOff>19639</xdr:rowOff>
    </xdr:from>
    <xdr:to>
      <xdr:col>5</xdr:col>
      <xdr:colOff>393687</xdr:colOff>
      <xdr:row>49</xdr:row>
      <xdr:rowOff>50386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F3BEE4D-045E-A62A-295A-8F2F55CBC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469" y="7521804"/>
          <a:ext cx="5515745" cy="21910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</xdr:rowOff>
    </xdr:from>
    <xdr:to>
      <xdr:col>4</xdr:col>
      <xdr:colOff>289074</xdr:colOff>
      <xdr:row>59</xdr:row>
      <xdr:rowOff>176501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E96B74-480B-34A8-8640-A1870506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928" y="11037217"/>
          <a:ext cx="4408995" cy="1376648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55</xdr:row>
      <xdr:rowOff>57150</xdr:rowOff>
    </xdr:from>
    <xdr:to>
      <xdr:col>20</xdr:col>
      <xdr:colOff>695325</xdr:colOff>
      <xdr:row>69</xdr:row>
      <xdr:rowOff>202243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E775E4-582C-4AAC-B0A5-F946D3A22B5E}"/>
            </a:ext>
            <a:ext uri="{147F2762-F138-4A5C-976F-8EAC2B608ADB}">
              <a16:predDERef xmlns:a16="http://schemas.microsoft.com/office/drawing/2014/main" pred="{03E96B74-480B-34A8-8640-A1870506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r="38436"/>
        <a:stretch>
          <a:fillRect/>
        </a:stretch>
      </xdr:blipFill>
      <xdr:spPr>
        <a:xfrm>
          <a:off x="13287375" y="11096625"/>
          <a:ext cx="6667500" cy="2943225"/>
        </a:xfrm>
        <a:prstGeom prst="rect">
          <a:avLst/>
        </a:prstGeom>
      </xdr:spPr>
    </xdr:pic>
    <xdr:clientData/>
  </xdr:twoCellAnchor>
  <xdr:twoCellAnchor editAs="oneCell">
    <xdr:from>
      <xdr:col>13</xdr:col>
      <xdr:colOff>695325</xdr:colOff>
      <xdr:row>31</xdr:row>
      <xdr:rowOff>190500</xdr:rowOff>
    </xdr:from>
    <xdr:to>
      <xdr:col>21</xdr:col>
      <xdr:colOff>342900</xdr:colOff>
      <xdr:row>50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10F106-3E82-4D5E-9D6E-77FE6E4AA363}"/>
            </a:ext>
            <a:ext uri="{147F2762-F138-4A5C-976F-8EAC2B608ADB}">
              <a16:predDERef xmlns:a16="http://schemas.microsoft.com/office/drawing/2014/main" pred="{F0E775E4-582C-4AAC-B0A5-F946D3A22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36801"/>
        <a:stretch>
          <a:fillRect/>
        </a:stretch>
      </xdr:blipFill>
      <xdr:spPr>
        <a:xfrm>
          <a:off x="14439900" y="6429375"/>
          <a:ext cx="5924550" cy="3800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751417</xdr:colOff>
      <xdr:row>12</xdr:row>
      <xdr:rowOff>146844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3CF09E-A2C7-481F-D7B9-EE5F840C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5417" cy="2432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137583</xdr:rowOff>
    </xdr:from>
    <xdr:to>
      <xdr:col>7</xdr:col>
      <xdr:colOff>751417</xdr:colOff>
      <xdr:row>22</xdr:row>
      <xdr:rowOff>105073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E408B7-13DD-7016-2811-E60DD7DEE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3583"/>
          <a:ext cx="6085417" cy="1872490"/>
        </a:xfrm>
        <a:prstGeom prst="rect">
          <a:avLst/>
        </a:prstGeom>
      </xdr:spPr>
    </xdr:pic>
    <xdr:clientData/>
  </xdr:twoCellAnchor>
  <xdr:twoCellAnchor editAs="oneCell">
    <xdr:from>
      <xdr:col>0</xdr:col>
      <xdr:colOff>754064</xdr:colOff>
      <xdr:row>58</xdr:row>
      <xdr:rowOff>33075</xdr:rowOff>
    </xdr:from>
    <xdr:to>
      <xdr:col>5</xdr:col>
      <xdr:colOff>668075</xdr:colOff>
      <xdr:row>62</xdr:row>
      <xdr:rowOff>138997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BFE4C3-D351-40C6-B3E5-81BB983E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064" y="5595940"/>
          <a:ext cx="3717396" cy="873214"/>
        </a:xfrm>
        <a:prstGeom prst="rect">
          <a:avLst/>
        </a:prstGeom>
      </xdr:spPr>
    </xdr:pic>
    <xdr:clientData/>
  </xdr:twoCellAnchor>
  <xdr:twoCellAnchor editAs="oneCell">
    <xdr:from>
      <xdr:col>0</xdr:col>
      <xdr:colOff>290249</xdr:colOff>
      <xdr:row>25</xdr:row>
      <xdr:rowOff>11113</xdr:rowOff>
    </xdr:from>
    <xdr:to>
      <xdr:col>5</xdr:col>
      <xdr:colOff>410634</xdr:colOff>
      <xdr:row>30</xdr:row>
      <xdr:rowOff>17390</xdr:rowOff>
    </xdr:to>
    <xdr:pic>
      <xdr:nvPicPr>
        <xdr:cNvPr id="17" name="Imagen 6">
          <a:extLst>
            <a:ext uri="{FF2B5EF4-FFF2-40B4-BE49-F238E27FC236}">
              <a16:creationId xmlns:a16="http://schemas.microsoft.com/office/drawing/2014/main" id="{274C0666-361E-9046-66A8-9023405B7863}"/>
            </a:ext>
            <a:ext uri="{147F2762-F138-4A5C-976F-8EAC2B608ADB}">
              <a16:predDERef xmlns:a16="http://schemas.microsoft.com/office/drawing/2014/main" pred="{23BFE4C3-D351-40C6-B3E5-81BB983E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0249" y="4773613"/>
          <a:ext cx="3930385" cy="958777"/>
        </a:xfrm>
        <a:prstGeom prst="rect">
          <a:avLst/>
        </a:prstGeom>
      </xdr:spPr>
    </xdr:pic>
    <xdr:clientData/>
  </xdr:twoCellAnchor>
  <xdr:twoCellAnchor editAs="oneCell">
    <xdr:from>
      <xdr:col>0</xdr:col>
      <xdr:colOff>282840</xdr:colOff>
      <xdr:row>32</xdr:row>
      <xdr:rowOff>185473</xdr:rowOff>
    </xdr:from>
    <xdr:to>
      <xdr:col>6</xdr:col>
      <xdr:colOff>223393</xdr:colOff>
      <xdr:row>38</xdr:row>
      <xdr:rowOff>7556</xdr:rowOff>
    </xdr:to>
    <xdr:pic>
      <xdr:nvPicPr>
        <xdr:cNvPr id="19" name="Imagen 7">
          <a:extLst>
            <a:ext uri="{FF2B5EF4-FFF2-40B4-BE49-F238E27FC236}">
              <a16:creationId xmlns:a16="http://schemas.microsoft.com/office/drawing/2014/main" id="{9DF0CD2F-AB6C-9662-7B03-F399A713694D}"/>
            </a:ext>
            <a:ext uri="{147F2762-F138-4A5C-976F-8EAC2B608ADB}">
              <a16:predDERef xmlns:a16="http://schemas.microsoft.com/office/drawing/2014/main" pred="{274C0666-361E-9046-66A8-9023405B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2840" y="6281473"/>
          <a:ext cx="4407778" cy="1050808"/>
        </a:xfrm>
        <a:prstGeom prst="rect">
          <a:avLst/>
        </a:prstGeom>
      </xdr:spPr>
    </xdr:pic>
    <xdr:clientData/>
  </xdr:twoCellAnchor>
  <xdr:twoCellAnchor editAs="oneCell">
    <xdr:from>
      <xdr:col>0</xdr:col>
      <xdr:colOff>208226</xdr:colOff>
      <xdr:row>38</xdr:row>
      <xdr:rowOff>161925</xdr:rowOff>
    </xdr:from>
    <xdr:to>
      <xdr:col>6</xdr:col>
      <xdr:colOff>22384</xdr:colOff>
      <xdr:row>43</xdr:row>
      <xdr:rowOff>188384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81BD7B8-B2B9-C1F9-66A1-B5BD635A96AE}"/>
            </a:ext>
            <a:ext uri="{147F2762-F138-4A5C-976F-8EAC2B608ADB}">
              <a16:predDERef xmlns:a16="http://schemas.microsoft.com/office/drawing/2014/main" pred="{9DF0CD2F-AB6C-9662-7B03-F399A7136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8226" y="7486650"/>
          <a:ext cx="4281383" cy="978959"/>
        </a:xfrm>
        <a:prstGeom prst="rect">
          <a:avLst/>
        </a:prstGeom>
      </xdr:spPr>
    </xdr:pic>
    <xdr:clientData/>
  </xdr:twoCellAnchor>
  <xdr:twoCellAnchor editAs="oneCell">
    <xdr:from>
      <xdr:col>0</xdr:col>
      <xdr:colOff>720990</xdr:colOff>
      <xdr:row>47</xdr:row>
      <xdr:rowOff>19844</xdr:rowOff>
    </xdr:from>
    <xdr:to>
      <xdr:col>6</xdr:col>
      <xdr:colOff>529512</xdr:colOff>
      <xdr:row>51</xdr:row>
      <xdr:rowOff>128974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01CCCA6-7ED2-0FC3-85E2-69236C4A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990" y="9035521"/>
          <a:ext cx="4372585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559673</xdr:colOff>
      <xdr:row>57</xdr:row>
      <xdr:rowOff>79256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EE37E42-5627-226F-479A-FCDD6669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0677" y="9974792"/>
          <a:ext cx="4363059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6</xdr:col>
      <xdr:colOff>473936</xdr:colOff>
      <xdr:row>68</xdr:row>
      <xdr:rowOff>60203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78BFD19-DECC-F4D1-6893-C3572157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677" y="12084844"/>
          <a:ext cx="4277322" cy="1019317"/>
        </a:xfrm>
        <a:prstGeom prst="rect">
          <a:avLst/>
        </a:prstGeom>
      </xdr:spPr>
    </xdr:pic>
    <xdr:clientData/>
  </xdr:twoCellAnchor>
  <xdr:twoCellAnchor editAs="oneCell">
    <xdr:from>
      <xdr:col>15</xdr:col>
      <xdr:colOff>45028</xdr:colOff>
      <xdr:row>2</xdr:row>
      <xdr:rowOff>32471</xdr:rowOff>
    </xdr:from>
    <xdr:to>
      <xdr:col>15</xdr:col>
      <xdr:colOff>559450</xdr:colOff>
      <xdr:row>22</xdr:row>
      <xdr:rowOff>71108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D6D1839E-3C53-4872-0D16-7D6C3E99E021}"/>
            </a:ext>
            <a:ext uri="{147F2762-F138-4A5C-976F-8EAC2B608ADB}">
              <a16:predDERef xmlns:a16="http://schemas.microsoft.com/office/drawing/2014/main" pred="{178BFD19-DECC-F4D1-6893-C3572157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70253" y="413471"/>
          <a:ext cx="514422" cy="384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6E78-E972-4DA3-A1A9-C69B70FE2CE2}">
  <dimension ref="A1:S79"/>
  <sheetViews>
    <sheetView tabSelected="1" topLeftCell="A12" zoomScale="91" workbookViewId="0">
      <selection activeCell="G29" sqref="G29"/>
    </sheetView>
    <sheetView tabSelected="1" topLeftCell="B3" zoomScale="146" workbookViewId="1">
      <selection activeCell="F16" sqref="F16"/>
    </sheetView>
  </sheetViews>
  <sheetFormatPr baseColWidth="10" defaultColWidth="11.42578125" defaultRowHeight="15.75" x14ac:dyDescent="0.25"/>
  <cols>
    <col min="1" max="1" width="11.42578125" style="2"/>
    <col min="2" max="2" width="23" style="2" customWidth="1"/>
    <col min="3" max="3" width="16.140625" style="2" customWidth="1"/>
    <col min="4" max="4" width="13.140625" style="2" customWidth="1"/>
    <col min="5" max="5" width="15" style="2" customWidth="1"/>
    <col min="6" max="6" width="21.28515625" style="2" customWidth="1"/>
    <col min="7" max="7" width="21.42578125" style="2" bestFit="1" customWidth="1"/>
    <col min="8" max="8" width="13.85546875" style="2" bestFit="1" customWidth="1"/>
    <col min="9" max="9" width="14.42578125" style="2" customWidth="1"/>
    <col min="10" max="10" width="12" style="2" customWidth="1"/>
    <col min="11" max="11" width="13" style="2" customWidth="1"/>
    <col min="12" max="12" width="20" style="2" customWidth="1"/>
    <col min="13" max="18" width="11.42578125" style="2"/>
    <col min="19" max="19" width="14.140625" style="2" customWidth="1"/>
    <col min="20" max="16384" width="11.42578125" style="2"/>
  </cols>
  <sheetData>
    <row r="1" spans="1:19" s="1" customFormat="1" x14ac:dyDescent="0.25">
      <c r="F1" s="2"/>
      <c r="G1" s="2"/>
      <c r="H1" s="2"/>
      <c r="I1" s="2"/>
    </row>
    <row r="2" spans="1:19" x14ac:dyDescent="0.25">
      <c r="P2" s="3" t="s">
        <v>0</v>
      </c>
      <c r="Q2" s="4"/>
      <c r="R2" s="4"/>
      <c r="S2" s="5"/>
    </row>
    <row r="3" spans="1:19" x14ac:dyDescent="0.25">
      <c r="D3" s="2" t="s">
        <v>1</v>
      </c>
      <c r="I3" s="6" t="s">
        <v>2</v>
      </c>
      <c r="J3" s="4"/>
      <c r="K3" s="5"/>
      <c r="P3" s="7"/>
      <c r="S3" s="8"/>
    </row>
    <row r="4" spans="1:19" x14ac:dyDescent="0.25">
      <c r="A4" s="9" t="s">
        <v>3</v>
      </c>
      <c r="B4" s="10" t="s">
        <v>4</v>
      </c>
      <c r="C4" s="10" t="s">
        <v>5</v>
      </c>
      <c r="D4" s="10" t="s">
        <v>6</v>
      </c>
      <c r="E4" s="3" t="s">
        <v>7</v>
      </c>
      <c r="F4" s="10" t="s">
        <v>8</v>
      </c>
      <c r="G4" s="11" t="s">
        <v>9</v>
      </c>
      <c r="H4" s="1"/>
      <c r="I4" s="12" t="s">
        <v>10</v>
      </c>
      <c r="J4" s="13" t="s">
        <v>11</v>
      </c>
      <c r="K4" s="14" t="s">
        <v>12</v>
      </c>
      <c r="L4" s="1"/>
      <c r="M4" s="15" t="s">
        <v>13</v>
      </c>
      <c r="N4" s="1"/>
      <c r="P4" s="16" t="s">
        <v>14</v>
      </c>
      <c r="Q4" s="17"/>
      <c r="R4" s="18">
        <f>+(N8+N5)/(N8+N5+N6+N7)</f>
        <v>0.7142857142857143</v>
      </c>
      <c r="S4" s="8" t="s">
        <v>15</v>
      </c>
    </row>
    <row r="5" spans="1:19" x14ac:dyDescent="0.25">
      <c r="A5" s="19">
        <v>1</v>
      </c>
      <c r="B5" s="49">
        <v>45980.738888888889</v>
      </c>
      <c r="C5" s="50">
        <v>91393</v>
      </c>
      <c r="D5" s="52">
        <v>91222</v>
      </c>
      <c r="E5" s="54">
        <f>+D5-C5</f>
        <v>-171</v>
      </c>
      <c r="F5" s="2">
        <f>ABS(E5)</f>
        <v>171</v>
      </c>
      <c r="G5" s="8">
        <f t="shared" ref="G5:G11" si="0">+F5^2</f>
        <v>29241</v>
      </c>
      <c r="I5" s="21">
        <f>IF(D5&lt;=$E$31,$F$33,$F$34)</f>
        <v>0</v>
      </c>
      <c r="J5" s="22">
        <f>IF(C5&lt;=$E$31,$F$33,$F$34)</f>
        <v>0</v>
      </c>
      <c r="K5" s="23" t="str">
        <f>IF(AND(I5=0,J5=0),"TN", IF(AND(I5=0,J5=1),"FP",IF(AND(I5=1,J5=0),"FN",IF(AND(I5=1,J5=1),"TP"," "))))</f>
        <v>TN</v>
      </c>
      <c r="M5" s="24" t="s">
        <v>16</v>
      </c>
      <c r="N5" s="5">
        <f>COUNTIF($K$5:$K$12,"TN")</f>
        <v>2</v>
      </c>
      <c r="P5" s="16" t="s">
        <v>17</v>
      </c>
      <c r="Q5" s="17"/>
      <c r="R5" s="18">
        <f>+(N8)/(N8+N6)</f>
        <v>0.6</v>
      </c>
      <c r="S5" s="8" t="s">
        <v>18</v>
      </c>
    </row>
    <row r="6" spans="1:19" x14ac:dyDescent="0.25">
      <c r="A6" s="19">
        <f>+A5+1</f>
        <v>2</v>
      </c>
      <c r="B6" s="49">
        <v>45980.771527777775</v>
      </c>
      <c r="C6" s="20">
        <v>91861</v>
      </c>
      <c r="D6" s="20">
        <v>91980</v>
      </c>
      <c r="E6" s="7">
        <f>+D6-C6</f>
        <v>119</v>
      </c>
      <c r="F6" s="2">
        <f t="shared" ref="F6:F11" si="1">ABS(E6)</f>
        <v>119</v>
      </c>
      <c r="G6" s="8">
        <f t="shared" si="0"/>
        <v>14161</v>
      </c>
      <c r="I6" s="21">
        <f t="shared" ref="I6:I11" si="2">IF(D6&lt;=$E$31,$F$33,$F$34)</f>
        <v>0</v>
      </c>
      <c r="J6" s="22">
        <f t="shared" ref="J6:J11" si="3">IF(C6&lt;=$E$31,$F$33,$F$34)</f>
        <v>0</v>
      </c>
      <c r="K6" s="23" t="str">
        <f t="shared" ref="K6:K11" si="4">IF(AND(I6=0,J6=0),"TN", IF(AND(I6=0,J6=1),"FP",IF(AND(I6=1,J6=0),"FN",IF(AND(I6=1,J6=1),"TP"," "))))</f>
        <v>TN</v>
      </c>
      <c r="M6" s="25" t="s">
        <v>19</v>
      </c>
      <c r="N6" s="8">
        <f>COUNTIF($K$5:$K$12,"FP")</f>
        <v>2</v>
      </c>
      <c r="P6" s="16" t="s">
        <v>20</v>
      </c>
      <c r="Q6" s="17"/>
      <c r="R6" s="18">
        <f>+(N8)/(N8+N7)</f>
        <v>1</v>
      </c>
      <c r="S6" s="8" t="s">
        <v>21</v>
      </c>
    </row>
    <row r="7" spans="1:19" x14ac:dyDescent="0.25">
      <c r="A7" s="19">
        <f t="shared" ref="A7:A11" si="5">+A6+1</f>
        <v>3</v>
      </c>
      <c r="B7" s="49">
        <v>45980.785416666666</v>
      </c>
      <c r="C7" s="20">
        <v>92155</v>
      </c>
      <c r="D7" s="52">
        <v>91917</v>
      </c>
      <c r="E7" s="7">
        <f t="shared" ref="E7:E11" si="6">+D7-C7</f>
        <v>-238</v>
      </c>
      <c r="F7" s="2">
        <f t="shared" si="1"/>
        <v>238</v>
      </c>
      <c r="G7" s="8">
        <f t="shared" si="0"/>
        <v>56644</v>
      </c>
      <c r="I7" s="21">
        <f t="shared" si="2"/>
        <v>0</v>
      </c>
      <c r="J7" s="22">
        <f t="shared" si="3"/>
        <v>1</v>
      </c>
      <c r="K7" s="23" t="str">
        <f t="shared" si="4"/>
        <v>FP</v>
      </c>
      <c r="M7" s="25" t="s">
        <v>22</v>
      </c>
      <c r="N7" s="8">
        <f>COUNTIF($K$5:$K$12,"FN")</f>
        <v>0</v>
      </c>
      <c r="P7" s="16" t="s">
        <v>23</v>
      </c>
      <c r="Q7" s="17"/>
      <c r="R7" s="18">
        <f>+(N5)/(N5+N6)</f>
        <v>0.5</v>
      </c>
      <c r="S7" s="8" t="s">
        <v>24</v>
      </c>
    </row>
    <row r="8" spans="1:19" x14ac:dyDescent="0.25">
      <c r="A8" s="19">
        <f t="shared" si="5"/>
        <v>4</v>
      </c>
      <c r="B8" s="49">
        <v>45980.811111111114</v>
      </c>
      <c r="C8" s="50">
        <v>92310</v>
      </c>
      <c r="D8" s="20">
        <v>92125</v>
      </c>
      <c r="E8" s="7">
        <f t="shared" si="6"/>
        <v>-185</v>
      </c>
      <c r="F8" s="2">
        <f t="shared" si="1"/>
        <v>185</v>
      </c>
      <c r="G8" s="8">
        <f t="shared" si="0"/>
        <v>34225</v>
      </c>
      <c r="I8" s="21">
        <f t="shared" si="2"/>
        <v>0</v>
      </c>
      <c r="J8" s="22">
        <f t="shared" si="3"/>
        <v>1</v>
      </c>
      <c r="K8" s="23" t="str">
        <f t="shared" si="4"/>
        <v>FP</v>
      </c>
      <c r="M8" s="26" t="s">
        <v>25</v>
      </c>
      <c r="N8" s="27">
        <f>COUNTIF($K$5:$K$12,"TP")</f>
        <v>3</v>
      </c>
      <c r="P8" s="28"/>
      <c r="S8" s="8"/>
    </row>
    <row r="9" spans="1:19" x14ac:dyDescent="0.25">
      <c r="A9" s="19">
        <f t="shared" si="5"/>
        <v>5</v>
      </c>
      <c r="B9" s="49">
        <v>45980.835416666669</v>
      </c>
      <c r="C9" s="20">
        <v>92572</v>
      </c>
      <c r="D9" s="20">
        <v>92475</v>
      </c>
      <c r="E9" s="7">
        <f t="shared" si="6"/>
        <v>-97</v>
      </c>
      <c r="F9" s="2">
        <f t="shared" si="1"/>
        <v>97</v>
      </c>
      <c r="G9" s="8">
        <f t="shared" si="0"/>
        <v>9409</v>
      </c>
      <c r="I9" s="21">
        <f t="shared" si="2"/>
        <v>1</v>
      </c>
      <c r="J9" s="22">
        <f t="shared" si="3"/>
        <v>1</v>
      </c>
      <c r="K9" s="23" t="str">
        <f t="shared" si="4"/>
        <v>TP</v>
      </c>
      <c r="P9" s="29" t="s">
        <v>26</v>
      </c>
      <c r="Q9" s="30"/>
      <c r="R9" s="30">
        <f>2*(R5*R6)/(R5+R6)</f>
        <v>0.74999999999999989</v>
      </c>
      <c r="S9" s="27"/>
    </row>
    <row r="10" spans="1:19" x14ac:dyDescent="0.25">
      <c r="A10" s="19">
        <f t="shared" si="5"/>
        <v>6</v>
      </c>
      <c r="B10" s="49">
        <v>45980.938194444447</v>
      </c>
      <c r="C10" s="20">
        <v>92316</v>
      </c>
      <c r="D10" s="20">
        <v>92359</v>
      </c>
      <c r="E10" s="7">
        <f t="shared" si="6"/>
        <v>43</v>
      </c>
      <c r="F10" s="2">
        <f t="shared" si="1"/>
        <v>43</v>
      </c>
      <c r="G10" s="8">
        <f t="shared" si="0"/>
        <v>1849</v>
      </c>
      <c r="I10" s="21">
        <f t="shared" si="2"/>
        <v>1</v>
      </c>
      <c r="J10" s="22">
        <f>IF(C10&lt;=$E$31,$F$33,$F$34)</f>
        <v>1</v>
      </c>
      <c r="K10" s="23" t="str">
        <f t="shared" si="4"/>
        <v>TP</v>
      </c>
    </row>
    <row r="11" spans="1:19" x14ac:dyDescent="0.25">
      <c r="A11" s="31">
        <f t="shared" si="5"/>
        <v>7</v>
      </c>
      <c r="B11" s="49">
        <v>45980.970833333333</v>
      </c>
      <c r="C11" s="32">
        <v>92883</v>
      </c>
      <c r="D11" s="32">
        <v>92789</v>
      </c>
      <c r="E11" s="7">
        <f t="shared" si="6"/>
        <v>-94</v>
      </c>
      <c r="F11" s="33">
        <f t="shared" si="1"/>
        <v>94</v>
      </c>
      <c r="G11" s="8">
        <f t="shared" si="0"/>
        <v>8836</v>
      </c>
      <c r="I11" s="21">
        <f t="shared" si="2"/>
        <v>1</v>
      </c>
      <c r="J11" s="22">
        <f t="shared" si="3"/>
        <v>1</v>
      </c>
      <c r="K11" s="23" t="str">
        <f t="shared" si="4"/>
        <v>TP</v>
      </c>
    </row>
    <row r="12" spans="1:19" x14ac:dyDescent="0.25">
      <c r="E12" s="7"/>
      <c r="F12" s="34">
        <f>SUM(F5:F11)</f>
        <v>947</v>
      </c>
      <c r="G12" s="53">
        <f>SUM(G5:G11)</f>
        <v>154365</v>
      </c>
      <c r="I12" s="35"/>
      <c r="J12" s="36"/>
      <c r="K12" s="37"/>
    </row>
    <row r="13" spans="1:19" x14ac:dyDescent="0.25">
      <c r="E13" s="7" t="s">
        <v>27</v>
      </c>
      <c r="F13" s="38">
        <v>7</v>
      </c>
      <c r="G13" s="23">
        <f>+F13</f>
        <v>7</v>
      </c>
    </row>
    <row r="14" spans="1:19" x14ac:dyDescent="0.25">
      <c r="E14" s="39" t="s">
        <v>28</v>
      </c>
      <c r="F14" s="40">
        <f>+F12/F13</f>
        <v>135.28571428571428</v>
      </c>
      <c r="G14" s="8"/>
    </row>
    <row r="15" spans="1:19" ht="18.75" x14ac:dyDescent="0.3">
      <c r="A15" s="41"/>
      <c r="E15" s="39" t="s">
        <v>29</v>
      </c>
      <c r="F15" s="40">
        <f>+G12/G13</f>
        <v>22052.142857142859</v>
      </c>
      <c r="G15" s="8"/>
    </row>
    <row r="16" spans="1:19" x14ac:dyDescent="0.25">
      <c r="E16" s="42" t="s">
        <v>30</v>
      </c>
      <c r="F16" s="43">
        <f>SQRT(F15)</f>
        <v>148.49963924920107</v>
      </c>
      <c r="G16" s="27"/>
    </row>
    <row r="17" spans="3:12" x14ac:dyDescent="0.25">
      <c r="F17" s="22"/>
      <c r="H17" s="3" t="s">
        <v>12</v>
      </c>
      <c r="I17" s="4"/>
      <c r="J17" s="4"/>
      <c r="K17" s="10" t="s">
        <v>10</v>
      </c>
      <c r="L17" s="11" t="s">
        <v>31</v>
      </c>
    </row>
    <row r="18" spans="3:12" x14ac:dyDescent="0.25">
      <c r="C18" s="52">
        <v>91222</v>
      </c>
      <c r="H18" s="7" t="s">
        <v>16</v>
      </c>
      <c r="I18" s="2" t="s">
        <v>32</v>
      </c>
      <c r="K18" s="2">
        <v>0</v>
      </c>
      <c r="L18" s="8">
        <v>0</v>
      </c>
    </row>
    <row r="19" spans="3:12" x14ac:dyDescent="0.25">
      <c r="C19" s="51">
        <v>91917</v>
      </c>
      <c r="E19" s="44" t="s">
        <v>33</v>
      </c>
      <c r="F19" s="5"/>
      <c r="H19" s="7" t="s">
        <v>19</v>
      </c>
      <c r="I19" s="2" t="s">
        <v>34</v>
      </c>
      <c r="K19" s="2">
        <v>0</v>
      </c>
      <c r="L19" s="8">
        <v>1</v>
      </c>
    </row>
    <row r="20" spans="3:12" x14ac:dyDescent="0.25">
      <c r="C20" s="20">
        <v>91980</v>
      </c>
      <c r="E20" s="28" t="s">
        <v>35</v>
      </c>
      <c r="F20" s="45"/>
      <c r="H20" s="7" t="s">
        <v>22</v>
      </c>
      <c r="I20" s="2" t="s">
        <v>36</v>
      </c>
      <c r="K20" s="2">
        <v>1</v>
      </c>
      <c r="L20" s="8">
        <v>0</v>
      </c>
    </row>
    <row r="21" spans="3:12" x14ac:dyDescent="0.25">
      <c r="C21" s="20">
        <v>92125</v>
      </c>
      <c r="E21" s="55">
        <f>C18</f>
        <v>91222</v>
      </c>
      <c r="F21" s="8"/>
      <c r="H21" s="46" t="s">
        <v>25</v>
      </c>
      <c r="I21" s="33" t="s">
        <v>37</v>
      </c>
      <c r="J21" s="33"/>
      <c r="K21" s="33">
        <v>1</v>
      </c>
      <c r="L21" s="27">
        <v>1</v>
      </c>
    </row>
    <row r="22" spans="3:12" x14ac:dyDescent="0.25">
      <c r="C22" s="20">
        <v>92359</v>
      </c>
      <c r="E22" s="55">
        <f t="shared" ref="E22:E26" si="7">C19</f>
        <v>91917</v>
      </c>
      <c r="F22" s="8"/>
    </row>
    <row r="23" spans="3:12" x14ac:dyDescent="0.25">
      <c r="C23" s="20">
        <v>92475</v>
      </c>
      <c r="E23" s="55">
        <f t="shared" si="7"/>
        <v>91980</v>
      </c>
      <c r="F23" s="8"/>
      <c r="H23" s="6" t="s">
        <v>38</v>
      </c>
      <c r="I23" s="4" t="s">
        <v>39</v>
      </c>
      <c r="J23" s="4">
        <v>0</v>
      </c>
      <c r="K23" s="5"/>
    </row>
    <row r="24" spans="3:12" x14ac:dyDescent="0.25">
      <c r="C24" s="32">
        <v>92789</v>
      </c>
      <c r="E24" s="56">
        <f t="shared" si="7"/>
        <v>92125</v>
      </c>
      <c r="F24" s="8"/>
      <c r="H24" s="7" t="s">
        <v>38</v>
      </c>
      <c r="I24" s="2" t="s">
        <v>40</v>
      </c>
      <c r="J24" s="2">
        <v>1</v>
      </c>
      <c r="K24" s="8"/>
    </row>
    <row r="25" spans="3:12" x14ac:dyDescent="0.25">
      <c r="E25" s="55">
        <f t="shared" si="7"/>
        <v>92359</v>
      </c>
      <c r="F25" s="8"/>
      <c r="H25" s="7" t="s">
        <v>35</v>
      </c>
      <c r="I25" s="2" t="s">
        <v>39</v>
      </c>
      <c r="J25" s="2">
        <v>0</v>
      </c>
      <c r="K25" s="8"/>
    </row>
    <row r="26" spans="3:12" x14ac:dyDescent="0.25">
      <c r="E26" s="55">
        <f t="shared" si="7"/>
        <v>92475</v>
      </c>
      <c r="F26" s="8"/>
      <c r="H26" s="46" t="s">
        <v>41</v>
      </c>
      <c r="I26" s="33" t="s">
        <v>40</v>
      </c>
      <c r="J26" s="33">
        <v>1</v>
      </c>
      <c r="K26" s="27" t="s">
        <v>42</v>
      </c>
    </row>
    <row r="27" spans="3:12" x14ac:dyDescent="0.25">
      <c r="E27" s="55">
        <f>C24</f>
        <v>92789</v>
      </c>
      <c r="F27" s="27"/>
    </row>
    <row r="29" spans="3:12" x14ac:dyDescent="0.25">
      <c r="E29" s="3" t="s">
        <v>43</v>
      </c>
      <c r="F29" s="5"/>
    </row>
    <row r="30" spans="3:12" x14ac:dyDescent="0.25">
      <c r="E30" s="28" t="s">
        <v>35</v>
      </c>
      <c r="F30" s="8"/>
    </row>
    <row r="31" spans="3:12" x14ac:dyDescent="0.25">
      <c r="D31" s="48"/>
      <c r="E31" s="47">
        <f>+E24</f>
        <v>92125</v>
      </c>
      <c r="F31" s="8"/>
    </row>
    <row r="32" spans="3:12" x14ac:dyDescent="0.25">
      <c r="E32" s="7"/>
      <c r="F32" s="8"/>
    </row>
    <row r="33" spans="2:14" x14ac:dyDescent="0.25">
      <c r="E33" s="7" t="s">
        <v>44</v>
      </c>
      <c r="F33" s="8">
        <v>0</v>
      </c>
    </row>
    <row r="34" spans="2:14" x14ac:dyDescent="0.25">
      <c r="E34" s="46" t="s">
        <v>45</v>
      </c>
      <c r="F34" s="27">
        <v>1</v>
      </c>
    </row>
    <row r="38" spans="2:14" x14ac:dyDescent="0.25">
      <c r="B38" s="83" t="s">
        <v>46</v>
      </c>
      <c r="C38" s="83"/>
      <c r="D38" s="83"/>
      <c r="E38" s="83"/>
      <c r="F38" s="83"/>
      <c r="G38" s="83"/>
      <c r="J38" s="66" t="s">
        <v>47</v>
      </c>
      <c r="K38" s="66"/>
      <c r="L38" s="67">
        <f>1.21+0.51-1.72+0.78</f>
        <v>0.78</v>
      </c>
      <c r="M38" s="68" t="s">
        <v>48</v>
      </c>
      <c r="N38" s="68"/>
    </row>
    <row r="39" spans="2:14" x14ac:dyDescent="0.25">
      <c r="J39" s="68"/>
      <c r="K39" s="68"/>
      <c r="L39" s="68"/>
      <c r="M39" s="68"/>
      <c r="N39" s="68"/>
    </row>
    <row r="40" spans="2:14" x14ac:dyDescent="0.25">
      <c r="J40" s="66" t="s">
        <v>49</v>
      </c>
      <c r="K40" s="70">
        <f>3/4</f>
        <v>0.75</v>
      </c>
      <c r="L40" s="69">
        <f>K40</f>
        <v>0.75</v>
      </c>
      <c r="M40" s="68"/>
      <c r="N40" s="68"/>
    </row>
    <row r="41" spans="2:14" x14ac:dyDescent="0.25">
      <c r="J41" s="68"/>
      <c r="K41" s="68"/>
      <c r="L41" s="68"/>
      <c r="M41" s="68"/>
      <c r="N41" s="68"/>
    </row>
    <row r="42" spans="2:14" x14ac:dyDescent="0.25">
      <c r="J42" s="66" t="s">
        <v>50</v>
      </c>
      <c r="K42" s="66"/>
      <c r="L42" s="67">
        <f>(1.21+0.51+0.78)/(1.72)</f>
        <v>1.4534883720930232</v>
      </c>
      <c r="M42" s="68"/>
      <c r="N42" s="68"/>
    </row>
    <row r="43" spans="2:14" x14ac:dyDescent="0.25">
      <c r="M43" s="68"/>
      <c r="N43" s="68"/>
    </row>
    <row r="44" spans="2:14" x14ac:dyDescent="0.25">
      <c r="J44" s="66" t="s">
        <v>51</v>
      </c>
      <c r="K44" s="71">
        <f>(L49-L50)/L49</f>
        <v>1.6909162406606358E-2</v>
      </c>
      <c r="L44" s="72">
        <f>K44</f>
        <v>1.6909162406606358E-2</v>
      </c>
      <c r="N44" s="68"/>
    </row>
    <row r="45" spans="2:14" x14ac:dyDescent="0.25">
      <c r="I45" s="80"/>
      <c r="J45" s="82"/>
      <c r="K45" s="82"/>
      <c r="L45" s="82"/>
      <c r="M45" s="82"/>
      <c r="N45" s="68"/>
    </row>
    <row r="46" spans="2:14" x14ac:dyDescent="0.25">
      <c r="I46" s="80"/>
      <c r="J46" s="73" t="s">
        <v>52</v>
      </c>
      <c r="K46" s="73" t="s">
        <v>53</v>
      </c>
      <c r="L46" s="73" t="s">
        <v>54</v>
      </c>
      <c r="M46" s="81"/>
      <c r="N46" s="68"/>
    </row>
    <row r="47" spans="2:14" x14ac:dyDescent="0.25">
      <c r="I47" s="80"/>
      <c r="J47" s="74">
        <v>0</v>
      </c>
      <c r="K47" s="74"/>
      <c r="L47" s="75">
        <v>100</v>
      </c>
      <c r="M47" s="82"/>
      <c r="N47" s="68"/>
    </row>
    <row r="48" spans="2:14" x14ac:dyDescent="0.25">
      <c r="I48" s="80"/>
      <c r="J48" s="77">
        <v>1</v>
      </c>
      <c r="K48" s="78">
        <v>1.21</v>
      </c>
      <c r="L48" s="79">
        <f>L47+K48</f>
        <v>101.21</v>
      </c>
      <c r="M48" s="82"/>
      <c r="N48" s="68"/>
    </row>
    <row r="49" spans="2:14" x14ac:dyDescent="0.25">
      <c r="I49" s="80"/>
      <c r="J49" s="74">
        <v>2</v>
      </c>
      <c r="K49" s="76">
        <v>0.51</v>
      </c>
      <c r="L49" s="75">
        <f>+L48+K49</f>
        <v>101.72</v>
      </c>
      <c r="M49" s="82"/>
      <c r="N49" s="68"/>
    </row>
    <row r="50" spans="2:14" x14ac:dyDescent="0.25">
      <c r="I50" s="80"/>
      <c r="J50" s="77">
        <v>3</v>
      </c>
      <c r="K50" s="77">
        <v>-1.72</v>
      </c>
      <c r="L50" s="79">
        <f>L49+K50</f>
        <v>100</v>
      </c>
      <c r="M50" s="82"/>
      <c r="N50" s="68"/>
    </row>
    <row r="51" spans="2:14" x14ac:dyDescent="0.25">
      <c r="I51" s="80"/>
      <c r="J51" s="74">
        <v>4</v>
      </c>
      <c r="K51" s="74">
        <v>0.78</v>
      </c>
      <c r="L51" s="75">
        <f>L50+K51</f>
        <v>100.78</v>
      </c>
      <c r="M51" s="82"/>
      <c r="N51" s="68"/>
    </row>
    <row r="52" spans="2:14" x14ac:dyDescent="0.25">
      <c r="B52" s="59" t="s">
        <v>55</v>
      </c>
      <c r="I52" s="80"/>
      <c r="J52" s="80"/>
      <c r="K52" s="80"/>
      <c r="L52" s="80"/>
      <c r="M52" s="80"/>
      <c r="N52" s="68"/>
    </row>
    <row r="53" spans="2:14" x14ac:dyDescent="0.25">
      <c r="B53" s="57">
        <f>(1.69%-3.71%+1.11%+0.87%+0.45%+1.25%+2.45%)/7</f>
        <v>5.8714285714285708E-3</v>
      </c>
      <c r="I53" s="80"/>
      <c r="J53" s="68"/>
      <c r="K53" s="68"/>
      <c r="L53" s="68"/>
      <c r="M53" s="68"/>
      <c r="N53" s="68"/>
    </row>
    <row r="54" spans="2:14" x14ac:dyDescent="0.25">
      <c r="B54" s="59" t="s">
        <v>56</v>
      </c>
      <c r="J54" s="68"/>
      <c r="K54" s="68"/>
      <c r="L54" s="68"/>
      <c r="M54" s="68"/>
      <c r="N54" s="68"/>
    </row>
    <row r="55" spans="2:14" x14ac:dyDescent="0.25">
      <c r="B55" s="58">
        <v>0</v>
      </c>
      <c r="J55" s="68"/>
      <c r="K55" s="68"/>
      <c r="L55" s="68"/>
      <c r="M55" s="68"/>
      <c r="N55" s="68"/>
    </row>
    <row r="56" spans="2:14" x14ac:dyDescent="0.25">
      <c r="B56" s="59" t="s">
        <v>57</v>
      </c>
      <c r="N56" s="68"/>
    </row>
    <row r="57" spans="2:14" x14ac:dyDescent="0.25">
      <c r="N57" s="68"/>
    </row>
    <row r="58" spans="2:14" x14ac:dyDescent="0.25">
      <c r="N58" s="68"/>
    </row>
    <row r="59" spans="2:14" x14ac:dyDescent="0.25">
      <c r="N59" s="68"/>
    </row>
    <row r="60" spans="2:14" x14ac:dyDescent="0.25">
      <c r="N60" s="68"/>
    </row>
    <row r="61" spans="2:14" x14ac:dyDescent="0.25">
      <c r="N61" s="68"/>
    </row>
    <row r="62" spans="2:14" x14ac:dyDescent="0.25">
      <c r="J62" s="68"/>
      <c r="K62" s="68"/>
      <c r="L62" s="68"/>
      <c r="M62" s="68"/>
      <c r="N62" s="68"/>
    </row>
    <row r="65" spans="2:4" x14ac:dyDescent="0.25">
      <c r="B65" s="2" t="s">
        <v>58</v>
      </c>
      <c r="C65" s="2" t="s">
        <v>59</v>
      </c>
      <c r="D65" s="2" t="s">
        <v>60</v>
      </c>
    </row>
    <row r="66" spans="2:4" x14ac:dyDescent="0.25">
      <c r="B66" s="61">
        <v>1.6899999999999998E-2</v>
      </c>
      <c r="C66" s="60">
        <f>$B$53</f>
        <v>5.8714285714285708E-3</v>
      </c>
      <c r="D66" s="63">
        <f>(B66-C66)^2</f>
        <v>1.2162938775510202E-4</v>
      </c>
    </row>
    <row r="67" spans="2:4" x14ac:dyDescent="0.25">
      <c r="B67" s="61">
        <v>-3.7100000000000001E-2</v>
      </c>
      <c r="C67" s="60">
        <f t="shared" ref="C67:C72" si="8">$B$53</f>
        <v>5.8714285714285708E-3</v>
      </c>
      <c r="D67" s="63">
        <f t="shared" ref="D67:D72" si="9">(B67-C67)^2</f>
        <v>1.8465436734693876E-3</v>
      </c>
    </row>
    <row r="68" spans="2:4" x14ac:dyDescent="0.25">
      <c r="B68" s="61">
        <v>1.11E-2</v>
      </c>
      <c r="C68" s="60">
        <f t="shared" si="8"/>
        <v>5.8714285714285708E-3</v>
      </c>
      <c r="D68" s="63">
        <f t="shared" si="9"/>
        <v>2.733795918367348E-5</v>
      </c>
    </row>
    <row r="69" spans="2:4" x14ac:dyDescent="0.25">
      <c r="B69" s="61">
        <v>8.6999999999999994E-3</v>
      </c>
      <c r="C69" s="60">
        <f t="shared" si="8"/>
        <v>5.8714285714285708E-3</v>
      </c>
      <c r="D69" s="63">
        <f t="shared" si="9"/>
        <v>8.0008163265306118E-6</v>
      </c>
    </row>
    <row r="70" spans="2:4" x14ac:dyDescent="0.25">
      <c r="B70" s="61">
        <v>4.4999999999999997E-3</v>
      </c>
      <c r="C70" s="60">
        <f t="shared" si="8"/>
        <v>5.8714285714285708E-3</v>
      </c>
      <c r="D70" s="63">
        <f t="shared" si="9"/>
        <v>1.8808163265306115E-6</v>
      </c>
    </row>
    <row r="71" spans="2:4" x14ac:dyDescent="0.25">
      <c r="B71" s="61">
        <v>1.2500000000000001E-2</v>
      </c>
      <c r="C71" s="60">
        <f t="shared" si="8"/>
        <v>5.8714285714285708E-3</v>
      </c>
      <c r="D71" s="63">
        <f t="shared" si="9"/>
        <v>4.3937959183673483E-5</v>
      </c>
    </row>
    <row r="72" spans="2:4" x14ac:dyDescent="0.25">
      <c r="B72" s="61">
        <v>1.15E-2</v>
      </c>
      <c r="C72" s="60">
        <f t="shared" si="8"/>
        <v>5.8714285714285708E-3</v>
      </c>
      <c r="D72" s="63">
        <f t="shared" si="9"/>
        <v>3.1680816326530619E-5</v>
      </c>
    </row>
    <row r="73" spans="2:4" x14ac:dyDescent="0.25">
      <c r="D73" s="64">
        <f>SUM(D66:D72)</f>
        <v>2.0810114285714286E-3</v>
      </c>
    </row>
    <row r="74" spans="2:4" x14ac:dyDescent="0.25">
      <c r="B74" s="2" t="s">
        <v>61</v>
      </c>
      <c r="C74" s="2">
        <f>D73/(7-1)</f>
        <v>3.4683523809523811E-4</v>
      </c>
    </row>
    <row r="76" spans="2:4" x14ac:dyDescent="0.25">
      <c r="B76" s="2" t="s">
        <v>62</v>
      </c>
      <c r="C76" s="62">
        <f>SQRT(C74)</f>
        <v>1.862351304387113E-2</v>
      </c>
    </row>
    <row r="79" spans="2:4" x14ac:dyDescent="0.25">
      <c r="B79" s="59" t="s">
        <v>63</v>
      </c>
      <c r="C79" s="65">
        <f>(B53-B55)/C76</f>
        <v>0.31526965710482951</v>
      </c>
    </row>
  </sheetData>
  <sortState xmlns:xlrd2="http://schemas.microsoft.com/office/spreadsheetml/2017/richdata2" ref="C19:C24">
    <sortCondition ref="C18:C24"/>
  </sortState>
  <mergeCells count="1">
    <mergeCell ref="B38:G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DDDD-5563-4067-A54B-130F84758F0A}">
  <dimension ref="A4:S64"/>
  <sheetViews>
    <sheetView zoomScale="88" workbookViewId="0">
      <selection activeCell="I57" sqref="I57"/>
    </sheetView>
    <sheetView zoomScale="144" workbookViewId="1">
      <selection activeCell="R17" sqref="R17"/>
    </sheetView>
  </sheetViews>
  <sheetFormatPr baseColWidth="10" defaultColWidth="11.42578125" defaultRowHeight="15" x14ac:dyDescent="0.25"/>
  <cols>
    <col min="2" max="2" width="18.42578125" customWidth="1"/>
    <col min="3" max="3" width="10.42578125" customWidth="1"/>
    <col min="4" max="4" width="9.140625" customWidth="1"/>
    <col min="5" max="5" width="6.140625" customWidth="1"/>
  </cols>
  <sheetData>
    <row r="4" spans="9:19" x14ac:dyDescent="0.25">
      <c r="J4" t="s">
        <v>64</v>
      </c>
    </row>
    <row r="10" spans="9:19" x14ac:dyDescent="0.25">
      <c r="I10" t="s">
        <v>65</v>
      </c>
    </row>
    <row r="11" spans="9:19" x14ac:dyDescent="0.25">
      <c r="K11" t="s">
        <v>66</v>
      </c>
    </row>
    <row r="12" spans="9:19" x14ac:dyDescent="0.25">
      <c r="K12" t="s">
        <v>67</v>
      </c>
    </row>
    <row r="13" spans="9:19" x14ac:dyDescent="0.25">
      <c r="L13" t="s">
        <v>68</v>
      </c>
    </row>
    <row r="14" spans="9:19" x14ac:dyDescent="0.25">
      <c r="J14" t="s">
        <v>69</v>
      </c>
      <c r="K14" t="s">
        <v>70</v>
      </c>
      <c r="S14" t="s">
        <v>71</v>
      </c>
    </row>
    <row r="15" spans="9:19" x14ac:dyDescent="0.25">
      <c r="J15" t="s">
        <v>72</v>
      </c>
      <c r="S15" t="s">
        <v>73</v>
      </c>
    </row>
    <row r="16" spans="9:19" x14ac:dyDescent="0.25">
      <c r="M16" t="s">
        <v>74</v>
      </c>
      <c r="R16" t="s">
        <v>75</v>
      </c>
      <c r="S16" t="s">
        <v>76</v>
      </c>
    </row>
    <row r="17" spans="1:19" x14ac:dyDescent="0.25">
      <c r="M17" t="s">
        <v>77</v>
      </c>
      <c r="S17" t="s">
        <v>78</v>
      </c>
    </row>
    <row r="18" spans="1:19" x14ac:dyDescent="0.25">
      <c r="I18" t="s">
        <v>79</v>
      </c>
      <c r="M18" t="s">
        <v>80</v>
      </c>
    </row>
    <row r="24" spans="1:19" x14ac:dyDescent="0.25">
      <c r="B24" t="s">
        <v>4</v>
      </c>
      <c r="C24" t="s">
        <v>81</v>
      </c>
      <c r="D24" t="s">
        <v>82</v>
      </c>
      <c r="E24" t="s">
        <v>83</v>
      </c>
      <c r="F24" t="s">
        <v>84</v>
      </c>
    </row>
    <row r="25" spans="1:19" x14ac:dyDescent="0.25">
      <c r="A25">
        <v>1</v>
      </c>
    </row>
    <row r="33" spans="1:1" x14ac:dyDescent="0.25">
      <c r="A33">
        <v>2</v>
      </c>
    </row>
    <row r="38" spans="1:1" ht="21.75" customHeight="1" x14ac:dyDescent="0.25"/>
    <row r="39" spans="1:1" x14ac:dyDescent="0.25">
      <c r="A39">
        <v>3</v>
      </c>
    </row>
    <row r="47" spans="1:1" x14ac:dyDescent="0.25">
      <c r="A47">
        <v>4</v>
      </c>
    </row>
    <row r="53" spans="1:1" x14ac:dyDescent="0.25">
      <c r="A53">
        <v>5</v>
      </c>
    </row>
    <row r="59" spans="1:1" x14ac:dyDescent="0.25">
      <c r="A59">
        <v>6</v>
      </c>
    </row>
    <row r="64" spans="1:1" x14ac:dyDescent="0.25">
      <c r="A64"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89be79-57ff-4f8b-a181-e45958ddad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5759E27C6CBF4096E4AB3FF8ACACD9" ma:contentTypeVersion="9" ma:contentTypeDescription="Crear nuevo documento." ma:contentTypeScope="" ma:versionID="d859c7bac63b6364a6bc97cd3fd9ff8a">
  <xsd:schema xmlns:xsd="http://www.w3.org/2001/XMLSchema" xmlns:xs="http://www.w3.org/2001/XMLSchema" xmlns:p="http://schemas.microsoft.com/office/2006/metadata/properties" xmlns:ns3="8589be79-57ff-4f8b-a181-e45958ddad3f" xmlns:ns4="c90ffed6-bf90-44ae-aca7-a60f2053c8e9" targetNamespace="http://schemas.microsoft.com/office/2006/metadata/properties" ma:root="true" ma:fieldsID="7c7d2b398751f0e5f8a309289f2b7a36" ns3:_="" ns4:_="">
    <xsd:import namespace="8589be79-57ff-4f8b-a181-e45958ddad3f"/>
    <xsd:import namespace="c90ffed6-bf90-44ae-aca7-a60f2053c8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9be79-57ff-4f8b-a181-e45958ddad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ffed6-bf90-44ae-aca7-a60f2053c8e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E071F-F32E-4EC7-9E9D-48CC575E5336}">
  <ds:schemaRefs>
    <ds:schemaRef ds:uri="http://www.w3.org/XML/1998/namespace"/>
    <ds:schemaRef ds:uri="http://purl.org/dc/elements/1.1/"/>
    <ds:schemaRef ds:uri="c90ffed6-bf90-44ae-aca7-a60f2053c8e9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589be79-57ff-4f8b-a181-e45958ddad3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FA83FFE-B85F-42B8-BA2F-A1EC67AE8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9be79-57ff-4f8b-a181-e45958ddad3f"/>
    <ds:schemaRef ds:uri="c90ffed6-bf90-44ae-aca7-a60f2053c8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2A296A-272F-40CD-B7BD-2A6C08DB71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 MAE MSE RMSE</vt:lpstr>
      <vt:lpstr>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Priority</dc:creator>
  <cp:keywords/>
  <dc:description/>
  <cp:lastModifiedBy>Priority</cp:lastModifiedBy>
  <cp:revision/>
  <dcterms:created xsi:type="dcterms:W3CDTF">2025-11-20T05:07:34Z</dcterms:created>
  <dcterms:modified xsi:type="dcterms:W3CDTF">2025-11-21T00:55:32Z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0x010100E75759E27C6CBF4096E4AB3FF8ACACD9</vt:lpwstr>
  </property>
</Properties>
</file>